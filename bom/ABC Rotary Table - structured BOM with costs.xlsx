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-110" yWindow="-110" windowWidth="38620" windowHeight="21100" tabRatio="500" firstSheet="0" activeTab="0" autoFilterDateGrouping="1"/>
  </bookViews>
  <sheets>
    <sheet xmlns:r="http://schemas.openxmlformats.org/officeDocument/2006/relationships" name="Latest" sheetId="1" state="visible" r:id="rId1"/>
  </sheets>
  <definedNames>
    <definedName name="_xlnm._FilterDatabase" localSheetId="0" hidden="1">'Latest'!$A$1:$K$58</definedName>
    <definedName name="_xlnm.Print_Titles" localSheetId="0">'Latest'!$1:$1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1">
    <numFmt numFmtId="164" formatCode="[$$-409]#,##0.00"/>
  </numFmts>
  <fonts count="17">
    <font>
      <name val="Arial"/>
      <color indexed="8"/>
      <sz val="10"/>
    </font>
    <font>
      <name val="Arial"/>
      <b val="1"/>
      <color indexed="8"/>
      <sz val="24"/>
    </font>
    <font>
      <name val="Arial"/>
      <i val="1"/>
      <color indexed="23"/>
      <sz val="10"/>
    </font>
    <font>
      <name val="Arial"/>
      <color indexed="10"/>
      <sz val="10"/>
    </font>
    <font>
      <name val="Arial"/>
      <b val="1"/>
      <color indexed="9"/>
      <sz val="10"/>
    </font>
    <font>
      <name val="Arial"/>
      <b val="1"/>
      <color indexed="8"/>
      <sz val="10"/>
    </font>
    <font>
      <name val="Arial"/>
      <color indexed="9"/>
      <sz val="10"/>
    </font>
    <font>
      <name val="Arial"/>
      <color indexed="8"/>
      <sz val="10"/>
    </font>
    <font>
      <name val="Arial"/>
      <family val="2"/>
      <color indexed="8"/>
      <sz val="10"/>
    </font>
    <font>
      <name val="Segoe UI"/>
      <color rgb="FF1F2430"/>
      <sz val="10"/>
    </font>
    <font>
      <name val="Segoe UI Semibold"/>
      <b val="1"/>
      <color rgb="FFFFFFFF"/>
      <sz val="10"/>
    </font>
    <font>
      <name val="Segoe UI"/>
      <b val="1"/>
      <color rgb="FF15294B"/>
      <sz val="10"/>
    </font>
    <font>
      <name val="Segoe UI"/>
      <b val="1"/>
      <color rgb="FF1F2430"/>
      <sz val="10"/>
    </font>
    <font>
      <name val="Segoe UI"/>
      <color rgb="FF7A869A"/>
      <sz val="10"/>
    </font>
    <font>
      <name val="Segoe UI Semibold"/>
      <b val="1"/>
      <color rgb="FFFFFFFF"/>
      <sz val="11"/>
    </font>
    <font>
      <name val="Segoe UI"/>
      <color rgb="FF1A6FB5"/>
      <sz val="10"/>
      <u val="single"/>
    </font>
    <font>
      <name val="Segoe UI"/>
      <b val="1"/>
      <color rgb="FF1A6FB5"/>
      <sz val="10"/>
      <u val="single"/>
    </font>
  </fonts>
  <fills count="10">
    <fill>
      <patternFill/>
    </fill>
    <fill>
      <patternFill patternType="gray125"/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10"/>
        <bgColor indexed="16"/>
      </patternFill>
    </fill>
    <fill>
      <patternFill patternType="solid">
        <fgColor rgb="FFFFFFFF"/>
        <bgColor indexed="64"/>
      </patternFill>
    </fill>
    <fill>
      <patternFill patternType="solid">
        <fgColor rgb="FF15294B"/>
        <bgColor indexed="64"/>
      </patternFill>
    </fill>
    <fill>
      <patternFill patternType="solid">
        <fgColor rgb="FFDCE6F4"/>
        <bgColor indexed="64"/>
      </patternFill>
    </fill>
    <fill>
      <patternFill patternType="solid">
        <fgColor rgb="FFF5F8F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E3E7EE"/>
      </bottom>
      <diagonal/>
    </border>
    <border>
      <left/>
      <right/>
      <top style="thin">
        <color rgb="FFE3E7EE"/>
      </top>
      <bottom style="thin">
        <color rgb="FFE3E7EE"/>
      </bottom>
      <diagonal/>
    </border>
    <border>
      <left/>
      <right/>
      <top style="thin">
        <color rgb="FFE3E7EE"/>
      </top>
      <bottom/>
      <diagonal/>
    </border>
    <border>
      <left/>
      <right/>
      <top style="medium">
        <color rgb="FF15294B"/>
      </top>
      <bottom style="thin">
        <color rgb="FFE3E7EE"/>
      </bottom>
      <diagonal/>
    </border>
  </borders>
  <cellStyleXfs count="11">
    <xf numFmtId="0" fontId="7" fillId="0" borderId="0"/>
    <xf numFmtId="0" fontId="5" fillId="0" borderId="0"/>
    <xf numFmtId="0" fontId="6" fillId="2" borderId="0"/>
    <xf numFmtId="0" fontId="6" fillId="3" borderId="0"/>
    <xf numFmtId="0" fontId="5" fillId="4" borderId="0"/>
    <xf numFmtId="0" fontId="4" fillId="5" borderId="0"/>
    <xf numFmtId="0" fontId="2" fillId="0" borderId="0"/>
    <xf numFmtId="0" fontId="1" fillId="0" borderId="0"/>
    <xf numFmtId="0" fontId="7" fillId="0" borderId="0"/>
    <xf numFmtId="0" fontId="7" fillId="0" borderId="0"/>
    <xf numFmtId="0" fontId="3" fillId="0" borderId="0"/>
  </cellStyleXfs>
  <cellXfs count="70">
    <xf numFmtId="0" fontId="0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left" wrapText="1"/>
    </xf>
    <xf numFmtId="0" fontId="9" fillId="6" borderId="2" applyAlignment="1" pivotButton="0" quotePrefix="0" xfId="0">
      <alignment horizontal="left" vertical="center"/>
    </xf>
    <xf numFmtId="0" fontId="9" fillId="6" borderId="2" applyAlignment="1" pivotButton="0" quotePrefix="0" xfId="0">
      <alignment horizontal="center" vertical="center"/>
    </xf>
    <xf numFmtId="3" fontId="9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 wrapText="1"/>
    </xf>
    <xf numFmtId="0" fontId="9" fillId="6" borderId="3" applyAlignment="1" pivotButton="0" quotePrefix="0" xfId="0">
      <alignment horizontal="left" vertical="center"/>
    </xf>
    <xf numFmtId="0" fontId="9" fillId="6" borderId="3" applyAlignment="1" pivotButton="0" quotePrefix="0" xfId="0">
      <alignment horizontal="center" vertical="center"/>
    </xf>
    <xf numFmtId="3" fontId="9" fillId="6" borderId="3" applyAlignment="1" pivotButton="0" quotePrefix="0" xfId="0">
      <alignment horizontal="center" vertical="center"/>
    </xf>
    <xf numFmtId="0" fontId="9" fillId="6" borderId="3" applyAlignment="1" pivotButton="0" quotePrefix="0" xfId="0">
      <alignment horizontal="left" vertical="center" wrapText="1"/>
    </xf>
    <xf numFmtId="0" fontId="10" fillId="7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left" vertical="center" wrapText="1"/>
    </xf>
    <xf numFmtId="164" fontId="9" fillId="6" borderId="2" applyAlignment="1" pivotButton="0" quotePrefix="0" xfId="0">
      <alignment horizontal="right" vertical="center"/>
    </xf>
    <xf numFmtId="164" fontId="9" fillId="6" borderId="3" applyAlignment="1" pivotButton="0" quotePrefix="0" xfId="0">
      <alignment horizontal="right" vertical="center"/>
    </xf>
    <xf numFmtId="49" fontId="11" fillId="8" borderId="4" applyAlignment="1" pivotButton="0" quotePrefix="0" xfId="0">
      <alignment horizontal="left" vertical="center"/>
    </xf>
    <xf numFmtId="0" fontId="11" fillId="8" borderId="4" applyAlignment="1" pivotButton="0" quotePrefix="0" xfId="0">
      <alignment horizontal="left" vertical="center"/>
    </xf>
    <xf numFmtId="0" fontId="11" fillId="8" borderId="4" applyAlignment="1" pivotButton="0" quotePrefix="0" xfId="0">
      <alignment horizontal="center" vertical="center"/>
    </xf>
    <xf numFmtId="3" fontId="11" fillId="8" borderId="4" applyAlignment="1" pivotButton="0" quotePrefix="0" xfId="0">
      <alignment horizontal="center" vertical="center"/>
    </xf>
    <xf numFmtId="164" fontId="11" fillId="8" borderId="4" applyAlignment="1" pivotButton="0" quotePrefix="0" xfId="0">
      <alignment horizontal="right" vertical="center"/>
    </xf>
    <xf numFmtId="0" fontId="11" fillId="8" borderId="4" applyAlignment="1" pivotButton="0" quotePrefix="0" xfId="0">
      <alignment horizontal="left" vertical="center" wrapText="1"/>
    </xf>
    <xf numFmtId="49" fontId="11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3" fontId="11" fillId="8" borderId="2" applyAlignment="1" pivotButton="0" quotePrefix="0" xfId="0">
      <alignment horizontal="center" vertical="center"/>
    </xf>
    <xf numFmtId="164" fontId="11" fillId="8" borderId="2" applyAlignment="1" pivotButton="0" quotePrefix="0" xfId="0">
      <alignment horizontal="right" vertical="center"/>
    </xf>
    <xf numFmtId="0" fontId="11" fillId="8" borderId="2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/>
    </xf>
    <xf numFmtId="3" fontId="9" fillId="9" borderId="1" applyAlignment="1" pivotButton="0" quotePrefix="0" xfId="0">
      <alignment horizontal="center" vertical="center"/>
    </xf>
    <xf numFmtId="164" fontId="9" fillId="9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12" fillId="9" borderId="2" applyAlignment="1" pivotButton="0" quotePrefix="0" xfId="0">
      <alignment horizontal="left" vertical="center"/>
    </xf>
    <xf numFmtId="0" fontId="9" fillId="9" borderId="2" applyAlignment="1" pivotButton="0" quotePrefix="0" xfId="0">
      <alignment horizontal="center" vertical="center"/>
    </xf>
    <xf numFmtId="3" fontId="9" fillId="9" borderId="2" applyAlignment="1" pivotButton="0" quotePrefix="0" xfId="0">
      <alignment horizontal="center" vertical="center"/>
    </xf>
    <xf numFmtId="164" fontId="9" fillId="9" borderId="2" applyAlignment="1" pivotButton="0" quotePrefix="0" xfId="0">
      <alignment horizontal="right" vertical="center"/>
    </xf>
    <xf numFmtId="0" fontId="9" fillId="9" borderId="2" applyAlignment="1" pivotButton="0" quotePrefix="0" xfId="0">
      <alignment horizontal="left" vertical="center"/>
    </xf>
    <xf numFmtId="0" fontId="9" fillId="9" borderId="2" applyAlignment="1" pivotButton="0" quotePrefix="0" xfId="0">
      <alignment horizontal="left" vertical="center" wrapText="1"/>
    </xf>
    <xf numFmtId="0" fontId="12" fillId="9" borderId="3" applyAlignment="1" pivotButton="0" quotePrefix="0" xfId="0">
      <alignment horizontal="left" vertical="center"/>
    </xf>
    <xf numFmtId="0" fontId="9" fillId="9" borderId="3" applyAlignment="1" pivotButton="0" quotePrefix="0" xfId="0">
      <alignment horizontal="center" vertical="center"/>
    </xf>
    <xf numFmtId="3" fontId="9" fillId="9" borderId="3" applyAlignment="1" pivotButton="0" quotePrefix="0" xfId="0">
      <alignment horizontal="center" vertical="center"/>
    </xf>
    <xf numFmtId="164" fontId="9" fillId="9" borderId="3" applyAlignment="1" pivotButton="0" quotePrefix="0" xfId="0">
      <alignment horizontal="right" vertical="center"/>
    </xf>
    <xf numFmtId="0" fontId="9" fillId="9" borderId="3" applyAlignment="1" pivotButton="0" quotePrefix="0" xfId="0">
      <alignment horizontal="left" vertical="center"/>
    </xf>
    <xf numFmtId="0" fontId="9" fillId="9" borderId="3" applyAlignment="1" pivotButton="0" quotePrefix="0" xfId="0">
      <alignment horizontal="left" vertical="center" wrapText="1"/>
    </xf>
    <xf numFmtId="49" fontId="12" fillId="9" borderId="1" applyAlignment="1" pivotButton="0" quotePrefix="0" xfId="0">
      <alignment horizontal="left" vertical="center" indent="1"/>
    </xf>
    <xf numFmtId="49" fontId="12" fillId="9" borderId="2" applyAlignment="1" pivotButton="0" quotePrefix="0" xfId="0">
      <alignment horizontal="left" vertical="center" indent="1"/>
    </xf>
    <xf numFmtId="49" fontId="12" fillId="9" borderId="3" applyAlignment="1" pivotButton="0" quotePrefix="0" xfId="0">
      <alignment horizontal="left" vertical="center" indent="1"/>
    </xf>
    <xf numFmtId="49" fontId="13" fillId="6" borderId="2" applyAlignment="1" pivotButton="0" quotePrefix="0" xfId="0">
      <alignment horizontal="left" vertical="center" indent="2"/>
    </xf>
    <xf numFmtId="49" fontId="13" fillId="6" borderId="3" applyAlignment="1" pivotButton="0" quotePrefix="0" xfId="0">
      <alignment horizontal="left" vertical="center" indent="2"/>
    </xf>
    <xf numFmtId="49" fontId="13" fillId="6" borderId="2" applyAlignment="1" pivotButton="0" quotePrefix="0" xfId="0">
      <alignment horizontal="left" vertical="center" indent="3"/>
    </xf>
    <xf numFmtId="0" fontId="14" fillId="7" borderId="0" applyAlignment="1" pivotButton="0" quotePrefix="0" xfId="0">
      <alignment horizontal="left" vertical="center"/>
    </xf>
    <xf numFmtId="0" fontId="14" fillId="7" borderId="0" applyAlignment="1" pivotButton="0" quotePrefix="0" xfId="0">
      <alignment vertical="center"/>
    </xf>
    <xf numFmtId="0" fontId="14" fillId="7" borderId="0" applyAlignment="1" pivotButton="0" quotePrefix="0" xfId="0">
      <alignment horizontal="left" vertical="center" wrapText="1"/>
    </xf>
    <xf numFmtId="164" fontId="14" fillId="7" borderId="0" applyAlignment="1" pivotButton="0" quotePrefix="0" xfId="0">
      <alignment horizontal="right" vertical="center"/>
    </xf>
    <xf numFmtId="0" fontId="15" fillId="9" borderId="2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15" fillId="6" borderId="2" applyAlignment="1" pivotButton="0" quotePrefix="0" xfId="0">
      <alignment horizontal="left" vertical="center" wrapText="1"/>
    </xf>
    <xf numFmtId="0" fontId="16" fillId="8" borderId="4" applyAlignment="1" pivotButton="0" quotePrefix="0" xfId="0">
      <alignment horizontal="left" vertical="center" wrapText="1"/>
    </xf>
    <xf numFmtId="164" fontId="11" fillId="8" borderId="4" applyAlignment="1" pivotButton="0" quotePrefix="0" xfId="0">
      <alignment horizontal="right" vertical="center"/>
    </xf>
    <xf numFmtId="164" fontId="9" fillId="9" borderId="1" applyAlignment="1" pivotButton="0" quotePrefix="0" xfId="0">
      <alignment horizontal="right" vertical="center"/>
    </xf>
    <xf numFmtId="164" fontId="9" fillId="9" borderId="2" applyAlignment="1" pivotButton="0" quotePrefix="0" xfId="0">
      <alignment horizontal="right" vertical="center"/>
    </xf>
    <xf numFmtId="164" fontId="9" fillId="9" borderId="3" applyAlignment="1" pivotButton="0" quotePrefix="0" xfId="0">
      <alignment horizontal="right" vertical="center"/>
    </xf>
    <xf numFmtId="164" fontId="14" fillId="7" borderId="0" applyAlignment="1" pivotButton="0" quotePrefix="0" xfId="0">
      <alignment horizontal="right" vertical="center"/>
    </xf>
  </cellXfs>
  <cellStyles count="11">
    <cellStyle name="Standard" xfId="0" builtinId="0"/>
    <cellStyle name="Accent" xfId="1"/>
    <cellStyle name="Accent 1" xfId="2"/>
    <cellStyle name="Accent 2" xfId="3"/>
    <cellStyle name="Accent 3" xfId="4"/>
    <cellStyle name="Error" xfId="5"/>
    <cellStyle name="Footnote" xfId="6"/>
    <cellStyle name="Heading" xfId="7"/>
    <cellStyle name="Status" xfId="8"/>
    <cellStyle name="Text" xfId="9"/>
    <cellStyle name="Warning" xfId="1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FF"/>
      <rgbColor rgb="00FFFF00"/>
      <rgbColor rgb="00FF00FF"/>
      <rgbColor rgb="0000FFFF"/>
      <rgbColor rgb="00800000"/>
      <rgbColor rgb="00006600"/>
      <rgbColor rgb="00000080"/>
      <rgbColor rgb="009966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C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/Relationships>
</file>

<file path=xl/drawings/drawing1.xml><?xml version="1.0" encoding="utf-8"?>
<wsDr xmlns="http://schemas.openxmlformats.org/drawingml/2006/spreadsheetDrawing">
  <twoCellAnchor>
    <from>
      <col>2</col>
      <colOff>255308</colOff>
      <row>1</row>
      <rowOff>53340</rowOff>
    </from>
    <to>
      <col>2</col>
      <colOff>1008343</colOff>
      <row>1</row>
      <rowOff>480060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2</row>
      <rowOff>53340</rowOff>
    </from>
    <to>
      <col>2</col>
      <colOff>1008343</colOff>
      <row>2</row>
      <rowOff>480060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3</row>
      <rowOff>53340</rowOff>
    </from>
    <to>
      <col>2</col>
      <colOff>1008343</colOff>
      <row>3</row>
      <rowOff>480060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258200</colOff>
      <row>4</row>
      <rowOff>48260</rowOff>
    </from>
    <to>
      <col>2</col>
      <colOff>1005451</colOff>
      <row>4</row>
      <rowOff>434340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5</row>
      <rowOff>53340</rowOff>
    </from>
    <to>
      <col>2</col>
      <colOff>1008343</colOff>
      <row>5</row>
      <rowOff>480060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6</row>
      <rowOff>53340</rowOff>
    </from>
    <to>
      <col>2</col>
      <colOff>1008343</colOff>
      <row>6</row>
      <rowOff>480060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258200</colOff>
      <row>7</row>
      <rowOff>48260</rowOff>
    </from>
    <to>
      <col>2</col>
      <colOff>1005451</colOff>
      <row>7</row>
      <rowOff>434340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8</row>
      <rowOff>53340</rowOff>
    </from>
    <to>
      <col>2</col>
      <colOff>1008343</colOff>
      <row>8</row>
      <rowOff>480060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9</row>
      <rowOff>53340</rowOff>
    </from>
    <to>
      <col>2</col>
      <colOff>1008343</colOff>
      <row>9</row>
      <rowOff>480060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10</row>
      <rowOff>53340</rowOff>
    </from>
    <to>
      <col>2</col>
      <colOff>1008343</colOff>
      <row>10</row>
      <rowOff>480060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258200</colOff>
      <row>11</row>
      <rowOff>48260</rowOff>
    </from>
    <to>
      <col>2</col>
      <colOff>1005451</colOff>
      <row>11</row>
      <rowOff>434340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12</row>
      <rowOff>53340</rowOff>
    </from>
    <to>
      <col>2</col>
      <colOff>1008343</colOff>
      <row>12</row>
      <rowOff>480060</rowOff>
    </to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13</row>
      <rowOff>53340</rowOff>
    </from>
    <to>
      <col>2</col>
      <colOff>1008343</colOff>
      <row>13</row>
      <rowOff>480060</rowOff>
    </to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258200</colOff>
      <row>14</row>
      <rowOff>48260</rowOff>
    </from>
    <to>
      <col>2</col>
      <colOff>1005451</colOff>
      <row>14</row>
      <rowOff>434340</rowOff>
    </to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15</row>
      <rowOff>53340</rowOff>
    </from>
    <to>
      <col>2</col>
      <colOff>1008343</colOff>
      <row>15</row>
      <rowOff>480060</rowOff>
    </to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16</row>
      <rowOff>53340</rowOff>
    </from>
    <to>
      <col>2</col>
      <colOff>1008343</colOff>
      <row>16</row>
      <rowOff>480060</rowOff>
    </to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17</row>
      <rowOff>53340</rowOff>
    </from>
    <to>
      <col>2</col>
      <colOff>1008343</colOff>
      <row>17</row>
      <rowOff>480060</rowOff>
    </to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258200</colOff>
      <row>18</row>
      <rowOff>48260</rowOff>
    </from>
    <to>
      <col>2</col>
      <colOff>1005451</colOff>
      <row>18</row>
      <rowOff>434340</rowOff>
    </to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19</row>
      <rowOff>53340</rowOff>
    </from>
    <to>
      <col>2</col>
      <colOff>1008343</colOff>
      <row>19</row>
      <rowOff>480060</rowOff>
    </to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20</row>
      <rowOff>53340</rowOff>
    </from>
    <to>
      <col>2</col>
      <colOff>1008343</colOff>
      <row>20</row>
      <rowOff>480060</rowOff>
    </to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258200</colOff>
      <row>21</row>
      <rowOff>48260</rowOff>
    </from>
    <to>
      <col>2</col>
      <colOff>1005451</colOff>
      <row>21</row>
      <rowOff>434340</rowOff>
    </to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22</row>
      <rowOff>53340</rowOff>
    </from>
    <to>
      <col>2</col>
      <colOff>1008343</colOff>
      <row>22</row>
      <rowOff>480060</rowOff>
    </to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258200</colOff>
      <row>23</row>
      <rowOff>48260</rowOff>
    </from>
    <to>
      <col>2</col>
      <colOff>1005451</colOff>
      <row>23</row>
      <rowOff>434340</rowOff>
    </to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24</row>
      <rowOff>53340</rowOff>
    </from>
    <to>
      <col>2</col>
      <colOff>1008343</colOff>
      <row>24</row>
      <rowOff>480060</rowOff>
    </to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25</row>
      <rowOff>53340</rowOff>
    </from>
    <to>
      <col>2</col>
      <colOff>1008343</colOff>
      <row>25</row>
      <rowOff>480060</rowOff>
    </to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258200</colOff>
      <row>26</row>
      <rowOff>48260</rowOff>
    </from>
    <to>
      <col>2</col>
      <colOff>1005451</colOff>
      <row>26</row>
      <rowOff>434340</rowOff>
    </to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27</row>
      <rowOff>53340</rowOff>
    </from>
    <to>
      <col>2</col>
      <colOff>1008343</colOff>
      <row>27</row>
      <rowOff>480060</rowOff>
    </to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28</row>
      <rowOff>53340</rowOff>
    </from>
    <to>
      <col>2</col>
      <colOff>1008343</colOff>
      <row>28</row>
      <rowOff>480060</rowOff>
    </to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29</row>
      <rowOff>53340</rowOff>
    </from>
    <to>
      <col>2</col>
      <colOff>1008343</colOff>
      <row>29</row>
      <rowOff>480060</rowOff>
    </to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30</row>
      <rowOff>53340</rowOff>
    </from>
    <to>
      <col>2</col>
      <colOff>1008343</colOff>
      <row>30</row>
      <rowOff>480060</rowOff>
    </to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31</row>
      <rowOff>53340</rowOff>
    </from>
    <to>
      <col>2</col>
      <colOff>1008343</colOff>
      <row>31</row>
      <rowOff>480060</rowOff>
    </to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32</row>
      <rowOff>53340</rowOff>
    </from>
    <to>
      <col>2</col>
      <colOff>1008343</colOff>
      <row>32</row>
      <rowOff>480060</rowOff>
    </to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258200</colOff>
      <row>33</row>
      <rowOff>48260</rowOff>
    </from>
    <to>
      <col>2</col>
      <colOff>1005451</colOff>
      <row>33</row>
      <rowOff>434340</rowOff>
    </to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258200</colOff>
      <row>34</row>
      <rowOff>48260</rowOff>
    </from>
    <to>
      <col>2</col>
      <colOff>1005451</colOff>
      <row>34</row>
      <rowOff>434340</rowOff>
    </to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35</row>
      <rowOff>53340</rowOff>
    </from>
    <to>
      <col>2</col>
      <colOff>1008343</colOff>
      <row>35</row>
      <rowOff>480060</rowOff>
    </to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258200</colOff>
      <row>36</row>
      <rowOff>48260</rowOff>
    </from>
    <to>
      <col>2</col>
      <colOff>1005451</colOff>
      <row>36</row>
      <rowOff>434340</rowOff>
    </to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37</row>
      <rowOff>53340</rowOff>
    </from>
    <to>
      <col>2</col>
      <colOff>1008343</colOff>
      <row>37</row>
      <rowOff>480060</rowOff>
    </to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258200</colOff>
      <row>38</row>
      <rowOff>48260</rowOff>
    </from>
    <to>
      <col>2</col>
      <colOff>1005451</colOff>
      <row>38</row>
      <rowOff>434340</rowOff>
    </to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39</row>
      <rowOff>53340</rowOff>
    </from>
    <to>
      <col>2</col>
      <colOff>1008343</colOff>
      <row>39</row>
      <rowOff>480060</rowOff>
    </to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40</row>
      <rowOff>53340</rowOff>
    </from>
    <to>
      <col>2</col>
      <colOff>1008343</colOff>
      <row>40</row>
      <rowOff>480060</rowOff>
    </to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41</row>
      <rowOff>53340</rowOff>
    </from>
    <to>
      <col>2</col>
      <colOff>1008343</colOff>
      <row>41</row>
      <rowOff>480060</rowOff>
    </to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42</row>
      <rowOff>53340</rowOff>
    </from>
    <to>
      <col>2</col>
      <colOff>1008343</colOff>
      <row>42</row>
      <rowOff>480060</rowOff>
    </to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43</row>
      <rowOff>53340</rowOff>
    </from>
    <to>
      <col>2</col>
      <colOff>1008343</colOff>
      <row>43</row>
      <rowOff>480060</rowOff>
    </to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258200</colOff>
      <row>44</row>
      <rowOff>48260</rowOff>
    </from>
    <to>
      <col>2</col>
      <colOff>1005451</colOff>
      <row>44</row>
      <rowOff>434340</rowOff>
    </to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45</row>
      <rowOff>53340</rowOff>
    </from>
    <to>
      <col>2</col>
      <colOff>1008343</colOff>
      <row>45</row>
      <rowOff>480060</rowOff>
    </to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46</row>
      <rowOff>53340</rowOff>
    </from>
    <to>
      <col>2</col>
      <colOff>1008343</colOff>
      <row>46</row>
      <rowOff>480060</rowOff>
    </to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47</row>
      <rowOff>53340</rowOff>
    </from>
    <to>
      <col>2</col>
      <colOff>1008343</colOff>
      <row>47</row>
      <rowOff>480060</rowOff>
    </to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48</row>
      <rowOff>53340</rowOff>
    </from>
    <to>
      <col>2</col>
      <colOff>1008343</colOff>
      <row>48</row>
      <rowOff>480060</rowOff>
    </to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49</row>
      <rowOff>53340</rowOff>
    </from>
    <to>
      <col>2</col>
      <colOff>1008343</colOff>
      <row>49</row>
      <rowOff>480060</rowOff>
    </to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258200</colOff>
      <row>50</row>
      <rowOff>48260</rowOff>
    </from>
    <to>
      <col>2</col>
      <colOff>1005451</colOff>
      <row>50</row>
      <rowOff>434340</rowOff>
    </to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51</row>
      <rowOff>53340</rowOff>
    </from>
    <to>
      <col>2</col>
      <colOff>1008343</colOff>
      <row>51</row>
      <rowOff>480060</rowOff>
    </to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52</row>
      <rowOff>53340</rowOff>
    </from>
    <to>
      <col>2</col>
      <colOff>1008343</colOff>
      <row>52</row>
      <rowOff>480060</rowOff>
    </to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53</row>
      <rowOff>53340</rowOff>
    </from>
    <to>
      <col>2</col>
      <colOff>1008343</colOff>
      <row>53</row>
      <rowOff>480060</rowOff>
    </to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258200</colOff>
      <row>54</row>
      <rowOff>48260</rowOff>
    </from>
    <to>
      <col>2</col>
      <colOff>1005451</colOff>
      <row>54</row>
      <rowOff>434340</rowOff>
    </to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55</row>
      <rowOff>53340</rowOff>
    </from>
    <to>
      <col>2</col>
      <colOff>1008343</colOff>
      <row>55</row>
      <rowOff>480060</rowOff>
    </to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56</row>
      <rowOff>53340</rowOff>
    </from>
    <to>
      <col>2</col>
      <colOff>1008343</colOff>
      <row>56</row>
      <rowOff>480060</rowOff>
    </to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2</col>
      <colOff>255308</colOff>
      <row>57</row>
      <rowOff>53340</rowOff>
    </from>
    <to>
      <col>2</col>
      <colOff>1008343</colOff>
      <row>57</row>
      <rowOff>480060</rowOff>
    </to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0"/>
    <pageSetUpPr fitToPage="1"/>
  </sheetPr>
  <dimension ref="A1:K59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baseColWidth="10" defaultRowHeight="12.5" outlineLevelRow="3"/>
  <cols>
    <col width="11.26953125" customWidth="1" style="4" min="1" max="1"/>
    <col width="24.36328125" bestFit="1" customWidth="1" style="4" min="2" max="2"/>
    <col width="19.81640625" bestFit="1" customWidth="1" style="6" min="3" max="3"/>
    <col width="12.453125" bestFit="1" customWidth="1" style="6" min="4" max="4"/>
    <col width="13.6328125" bestFit="1" customWidth="1" style="6" min="5" max="5"/>
    <col width="70.453125" bestFit="1" customWidth="1" style="7" min="6" max="6"/>
    <col width="9.453125" bestFit="1" customWidth="1" style="6" min="7" max="7"/>
    <col width="35.7265625" bestFit="1" customWidth="1" style="7" min="8" max="8"/>
    <col width="9" bestFit="1" customWidth="1" style="4" min="9" max="9"/>
    <col width="26.1796875" bestFit="1" customWidth="1" style="7" min="10" max="10"/>
    <col width="28.6328125" bestFit="1" customWidth="1" style="7" min="11" max="11"/>
    <col width="8.7265625" customWidth="1" style="6" min="12" max="256"/>
    <col width="10.90625" customWidth="1" style="6" min="257" max="16384"/>
  </cols>
  <sheetData>
    <row r="1" ht="30" customHeight="1" thickBot="1">
      <c r="A1" s="16" t="inlineStr">
        <is>
          <t>Level</t>
        </is>
      </c>
      <c r="B1" s="16" t="inlineStr">
        <is>
          <t>Part Number</t>
        </is>
      </c>
      <c r="C1" s="17" t="inlineStr">
        <is>
          <t>Thumbnail image</t>
        </is>
      </c>
      <c r="D1" s="17" t="inlineStr">
        <is>
          <t>Quantity</t>
        </is>
      </c>
      <c r="E1" s="17" t="inlineStr">
        <is>
          <t>Total Cost</t>
        </is>
      </c>
      <c r="F1" s="18" t="inlineStr">
        <is>
          <t>Description</t>
        </is>
      </c>
      <c r="G1" s="17" t="inlineStr">
        <is>
          <t>Cost</t>
        </is>
      </c>
      <c r="H1" s="18" t="inlineStr">
        <is>
          <t>File Name</t>
        </is>
      </c>
      <c r="I1" s="16" t="inlineStr">
        <is>
          <t>Type</t>
        </is>
      </c>
      <c r="J1" s="18" t="inlineStr">
        <is>
          <t>Material</t>
        </is>
      </c>
      <c r="K1" s="18" t="inlineStr">
        <is>
          <t>Source</t>
        </is>
      </c>
    </row>
    <row r="2" collapsed="1" ht="42" customHeight="1">
      <c r="A2" s="21" t="inlineStr">
        <is>
          <t>1</t>
        </is>
      </c>
      <c r="B2" s="22" t="inlineStr">
        <is>
          <t>SW-01024</t>
        </is>
      </c>
      <c r="C2" s="23" t="inlineStr"/>
      <c r="D2" s="24" t="n">
        <v>1</v>
      </c>
      <c r="E2" s="65">
        <f>D2*G2</f>
        <v/>
      </c>
      <c r="F2" s="22" t="inlineStr"/>
      <c r="G2" s="65" t="n">
        <v>13.5</v>
      </c>
      <c r="H2" s="26" t="n"/>
      <c r="I2" s="23" t="inlineStr">
        <is>
          <t>Assembly</t>
        </is>
      </c>
      <c r="J2" s="26" t="n"/>
      <c r="K2" s="26" t="n"/>
    </row>
    <row r="3" hidden="1" outlineLevel="1" ht="42" customHeight="1">
      <c r="A3" s="51" t="inlineStr">
        <is>
          <t>1.1</t>
        </is>
      </c>
      <c r="B3" s="33" t="inlineStr">
        <is>
          <t>SW-01026</t>
        </is>
      </c>
      <c r="C3" s="34" t="inlineStr"/>
      <c r="D3" s="35" t="n">
        <v>1</v>
      </c>
      <c r="E3" s="66">
        <f>D3*G3</f>
        <v/>
      </c>
      <c r="F3" s="37" t="inlineStr"/>
      <c r="G3" s="66" t="n">
        <v>1</v>
      </c>
      <c r="H3" s="38" t="n"/>
      <c r="I3" s="34" t="inlineStr">
        <is>
          <t>Part</t>
        </is>
      </c>
      <c r="J3" s="38" t="n"/>
      <c r="K3" s="38" t="n"/>
    </row>
    <row r="4" hidden="1" outlineLevel="1" ht="42" customHeight="1">
      <c r="A4" s="52" t="inlineStr">
        <is>
          <t>1.2</t>
        </is>
      </c>
      <c r="B4" s="39" t="inlineStr">
        <is>
          <t>SW-01027</t>
        </is>
      </c>
      <c r="C4" s="40" t="inlineStr"/>
      <c r="D4" s="41" t="n">
        <v>1</v>
      </c>
      <c r="E4" s="67">
        <f>D4*G4</f>
        <v/>
      </c>
      <c r="F4" s="43" t="inlineStr"/>
      <c r="G4" s="67" t="n">
        <v>10</v>
      </c>
      <c r="H4" s="44" t="n"/>
      <c r="I4" s="40" t="inlineStr">
        <is>
          <t>Part</t>
        </is>
      </c>
      <c r="J4" s="44" t="n"/>
      <c r="K4" s="44" t="n"/>
    </row>
    <row r="5" hidden="1" outlineLevel="1" ht="38" customHeight="1">
      <c r="A5" s="52" t="inlineStr">
        <is>
          <t>1.3</t>
        </is>
      </c>
      <c r="B5" s="39" t="inlineStr">
        <is>
          <t>ISO 10642 - M4 x 25 - 25N</t>
        </is>
      </c>
      <c r="C5" s="40" t="inlineStr"/>
      <c r="D5" s="41" t="n">
        <v>2</v>
      </c>
      <c r="E5" s="67">
        <f>D5*G5</f>
        <v/>
      </c>
      <c r="F5" s="43" t="inlineStr"/>
      <c r="G5" s="67" t="n">
        <v>0.1</v>
      </c>
      <c r="H5" s="44" t="n"/>
      <c r="I5" s="40" t="inlineStr">
        <is>
          <t>Part</t>
        </is>
      </c>
      <c r="J5" s="44" t="n"/>
      <c r="K5" s="44" t="n"/>
    </row>
    <row r="6" hidden="1" outlineLevel="1" ht="42" customHeight="1">
      <c r="A6" s="52" t="inlineStr">
        <is>
          <t>1.4</t>
        </is>
      </c>
      <c r="B6" s="39" t="inlineStr">
        <is>
          <t>SW-01025</t>
        </is>
      </c>
      <c r="C6" s="40" t="inlineStr"/>
      <c r="D6" s="41" t="n">
        <v>1</v>
      </c>
      <c r="E6" s="67">
        <f>D6*G6</f>
        <v/>
      </c>
      <c r="F6" s="43" t="inlineStr"/>
      <c r="G6" s="67" t="n">
        <v>1</v>
      </c>
      <c r="H6" s="44" t="n"/>
      <c r="I6" s="40" t="inlineStr">
        <is>
          <t>Part</t>
        </is>
      </c>
      <c r="J6" s="44" t="n"/>
      <c r="K6" s="44" t="n"/>
    </row>
    <row r="7" hidden="1" outlineLevel="1" ht="42" customHeight="1">
      <c r="A7" s="52" t="inlineStr">
        <is>
          <t>1.5</t>
        </is>
      </c>
      <c r="B7" s="39" t="inlineStr">
        <is>
          <t>SW-01028</t>
        </is>
      </c>
      <c r="C7" s="40" t="inlineStr"/>
      <c r="D7" s="41" t="n">
        <v>1</v>
      </c>
      <c r="E7" s="67">
        <f>D7*G7</f>
        <v/>
      </c>
      <c r="F7" s="43" t="inlineStr"/>
      <c r="G7" s="67" t="n">
        <v>1</v>
      </c>
      <c r="H7" s="44" t="n"/>
      <c r="I7" s="40" t="inlineStr">
        <is>
          <t>Part</t>
        </is>
      </c>
      <c r="J7" s="44" t="n"/>
      <c r="K7" s="44" t="n"/>
    </row>
    <row r="8" hidden="1" outlineLevel="1" ht="38" customHeight="1">
      <c r="A8" s="53" t="inlineStr">
        <is>
          <t>1.6</t>
        </is>
      </c>
      <c r="B8" s="45" t="inlineStr">
        <is>
          <t>DIN 912 M4 x 12 --- 12N</t>
        </is>
      </c>
      <c r="C8" s="46" t="inlineStr"/>
      <c r="D8" s="47" t="n">
        <v>3</v>
      </c>
      <c r="E8" s="68">
        <f>D8*G8</f>
        <v/>
      </c>
      <c r="F8" s="49" t="inlineStr"/>
      <c r="G8" s="68" t="n">
        <v>0.1</v>
      </c>
      <c r="H8" s="50" t="n"/>
      <c r="I8" s="46" t="inlineStr">
        <is>
          <t>Part</t>
        </is>
      </c>
      <c r="J8" s="50" t="n"/>
      <c r="K8" s="50" t="n"/>
    </row>
    <row r="9" collapsed="1" ht="42" customHeight="1">
      <c r="A9" s="21" t="inlineStr">
        <is>
          <t>2</t>
        </is>
      </c>
      <c r="B9" s="22" t="inlineStr">
        <is>
          <t>SW-01036</t>
        </is>
      </c>
      <c r="C9" s="23" t="inlineStr"/>
      <c r="D9" s="24" t="n">
        <v>1</v>
      </c>
      <c r="E9" s="65">
        <f>D9*G9</f>
        <v/>
      </c>
      <c r="F9" s="22" t="inlineStr"/>
      <c r="G9" s="65" t="n">
        <v>5.3</v>
      </c>
      <c r="H9" s="26" t="n"/>
      <c r="I9" s="23" t="inlineStr">
        <is>
          <t>Assembly</t>
        </is>
      </c>
      <c r="J9" s="26" t="n"/>
      <c r="K9" s="26" t="n"/>
    </row>
    <row r="10" hidden="1" outlineLevel="1" ht="42" customHeight="1">
      <c r="A10" s="51" t="inlineStr">
        <is>
          <t>2.1</t>
        </is>
      </c>
      <c r="B10" s="33" t="inlineStr">
        <is>
          <t>SW-01038</t>
        </is>
      </c>
      <c r="C10" s="34" t="inlineStr"/>
      <c r="D10" s="35" t="n">
        <v>1</v>
      </c>
      <c r="E10" s="66">
        <f>D10*G10</f>
        <v/>
      </c>
      <c r="F10" s="37" t="inlineStr"/>
      <c r="G10" s="66" t="n">
        <v>1</v>
      </c>
      <c r="H10" s="38" t="n"/>
      <c r="I10" s="34" t="inlineStr">
        <is>
          <t>Part</t>
        </is>
      </c>
      <c r="J10" s="38" t="n"/>
      <c r="K10" s="38" t="n"/>
    </row>
    <row r="11" hidden="1" outlineLevel="1" ht="42" customHeight="1">
      <c r="A11" s="52" t="inlineStr">
        <is>
          <t>2.2</t>
        </is>
      </c>
      <c r="B11" s="39" t="inlineStr">
        <is>
          <t>SW-01039</t>
        </is>
      </c>
      <c r="C11" s="40" t="inlineStr"/>
      <c r="D11" s="41" t="n">
        <v>1</v>
      </c>
      <c r="E11" s="67">
        <f>D11*G11</f>
        <v/>
      </c>
      <c r="F11" s="43" t="inlineStr"/>
      <c r="G11" s="67" t="n">
        <v>1</v>
      </c>
      <c r="H11" s="44" t="n"/>
      <c r="I11" s="40" t="inlineStr">
        <is>
          <t>Part</t>
        </is>
      </c>
      <c r="J11" s="44" t="n"/>
      <c r="K11" s="44" t="n"/>
    </row>
    <row r="12" hidden="1" outlineLevel="1" ht="38" customHeight="1">
      <c r="A12" s="52" t="inlineStr">
        <is>
          <t>2.3</t>
        </is>
      </c>
      <c r="B12" s="39" t="inlineStr">
        <is>
          <t>DIN 914 - M4 x 5-N</t>
        </is>
      </c>
      <c r="C12" s="40" t="inlineStr"/>
      <c r="D12" s="41" t="n">
        <v>1</v>
      </c>
      <c r="E12" s="67">
        <f>D12*G12</f>
        <v/>
      </c>
      <c r="F12" s="43" t="inlineStr"/>
      <c r="G12" s="67" t="n">
        <v>0.1</v>
      </c>
      <c r="H12" s="44" t="n"/>
      <c r="I12" s="40" t="inlineStr">
        <is>
          <t>Part</t>
        </is>
      </c>
      <c r="J12" s="44" t="n"/>
      <c r="K12" s="44" t="n"/>
    </row>
    <row r="13" hidden="1" outlineLevel="1" ht="42" customHeight="1">
      <c r="A13" s="52" t="inlineStr">
        <is>
          <t>2.4</t>
        </is>
      </c>
      <c r="B13" s="39" t="inlineStr">
        <is>
          <t>SW-01037</t>
        </is>
      </c>
      <c r="C13" s="40" t="inlineStr"/>
      <c r="D13" s="41" t="n">
        <v>1</v>
      </c>
      <c r="E13" s="67">
        <f>D13*G13</f>
        <v/>
      </c>
      <c r="F13" s="43" t="inlineStr"/>
      <c r="G13" s="67" t="n">
        <v>0.1</v>
      </c>
      <c r="H13" s="44" t="n"/>
      <c r="I13" s="40" t="inlineStr">
        <is>
          <t>Part</t>
        </is>
      </c>
      <c r="J13" s="44" t="n"/>
      <c r="K13" s="44" t="n"/>
    </row>
    <row r="14" hidden="1" outlineLevel="1" ht="42" customHeight="1">
      <c r="A14" s="52" t="inlineStr">
        <is>
          <t>2.5</t>
        </is>
      </c>
      <c r="B14" s="39" t="inlineStr">
        <is>
          <t>SW-01040</t>
        </is>
      </c>
      <c r="C14" s="40" t="inlineStr"/>
      <c r="D14" s="41" t="n">
        <v>1</v>
      </c>
      <c r="E14" s="67">
        <f>D14*G14</f>
        <v/>
      </c>
      <c r="F14" s="43" t="inlineStr"/>
      <c r="G14" s="67" t="n">
        <v>3</v>
      </c>
      <c r="H14" s="44" t="n"/>
      <c r="I14" s="40" t="inlineStr">
        <is>
          <t>Part</t>
        </is>
      </c>
      <c r="J14" s="44" t="n"/>
      <c r="K14" s="44" t="n"/>
    </row>
    <row r="15" hidden="1" outlineLevel="1" ht="38" customHeight="1">
      <c r="A15" s="53" t="inlineStr">
        <is>
          <t>2.6</t>
        </is>
      </c>
      <c r="B15" s="45" t="inlineStr">
        <is>
          <t>DIN 912 M5 x 8 --- 8N</t>
        </is>
      </c>
      <c r="C15" s="46" t="inlineStr"/>
      <c r="D15" s="47" t="n">
        <v>1</v>
      </c>
      <c r="E15" s="68">
        <f>D15*G15</f>
        <v/>
      </c>
      <c r="F15" s="49" t="inlineStr"/>
      <c r="G15" s="68" t="n">
        <v>0.1</v>
      </c>
      <c r="H15" s="50" t="n"/>
      <c r="I15" s="46" t="inlineStr">
        <is>
          <t>Part</t>
        </is>
      </c>
      <c r="J15" s="50" t="n"/>
      <c r="K15" s="50" t="n"/>
    </row>
    <row r="16" collapsed="1" ht="42" customHeight="1">
      <c r="A16" s="21" t="inlineStr">
        <is>
          <t>3</t>
        </is>
      </c>
      <c r="B16" s="22" t="inlineStr">
        <is>
          <t>SW-01051</t>
        </is>
      </c>
      <c r="C16" s="23" t="inlineStr"/>
      <c r="D16" s="24" t="n">
        <v>1</v>
      </c>
      <c r="E16" s="65">
        <f>D16*G16</f>
        <v/>
      </c>
      <c r="F16" s="22" t="inlineStr"/>
      <c r="G16" s="65" t="n">
        <v>39.4</v>
      </c>
      <c r="H16" s="26" t="n"/>
      <c r="I16" s="23" t="inlineStr">
        <is>
          <t>Assembly</t>
        </is>
      </c>
      <c r="J16" s="26" t="n"/>
      <c r="K16" s="26" t="n"/>
    </row>
    <row r="17" hidden="1" outlineLevel="1" ht="42" customHeight="1">
      <c r="A17" s="51" t="inlineStr">
        <is>
          <t>3.1</t>
        </is>
      </c>
      <c r="B17" s="33" t="inlineStr">
        <is>
          <t>SW-01045</t>
        </is>
      </c>
      <c r="C17" s="34" t="inlineStr"/>
      <c r="D17" s="35" t="n">
        <v>1</v>
      </c>
      <c r="E17" s="66">
        <f>D17*G17</f>
        <v/>
      </c>
      <c r="F17" s="37" t="inlineStr"/>
      <c r="G17" s="66" t="n">
        <v>5</v>
      </c>
      <c r="H17" s="38" t="n"/>
      <c r="I17" s="34" t="inlineStr">
        <is>
          <t>Part</t>
        </is>
      </c>
      <c r="J17" s="38" t="n"/>
      <c r="K17" s="38" t="n"/>
    </row>
    <row r="18" hidden="1" outlineLevel="1" ht="42" customHeight="1">
      <c r="A18" s="52" t="inlineStr">
        <is>
          <t>3.2</t>
        </is>
      </c>
      <c r="B18" s="39" t="inlineStr">
        <is>
          <t>SW-01054</t>
        </is>
      </c>
      <c r="C18" s="40" t="inlineStr"/>
      <c r="D18" s="41" t="n">
        <v>2</v>
      </c>
      <c r="E18" s="67">
        <f>D18*G18</f>
        <v/>
      </c>
      <c r="F18" s="43" t="inlineStr"/>
      <c r="G18" s="67" t="n">
        <v>3</v>
      </c>
      <c r="H18" s="44" t="n"/>
      <c r="I18" s="40" t="inlineStr">
        <is>
          <t>Part</t>
        </is>
      </c>
      <c r="J18" s="44" t="n"/>
      <c r="K18" s="44" t="n"/>
    </row>
    <row r="19" hidden="1" outlineLevel="1" ht="38" customHeight="1">
      <c r="A19" s="52" t="inlineStr">
        <is>
          <t>3.3</t>
        </is>
      </c>
      <c r="B19" s="39" t="inlineStr">
        <is>
          <t>DIN 912 M3 x 16 --- 16N</t>
        </is>
      </c>
      <c r="C19" s="40" t="inlineStr"/>
      <c r="D19" s="41" t="n">
        <v>4</v>
      </c>
      <c r="E19" s="67">
        <f>D19*G19</f>
        <v/>
      </c>
      <c r="F19" s="43" t="inlineStr"/>
      <c r="G19" s="67" t="n">
        <v>0.1</v>
      </c>
      <c r="H19" s="44" t="n"/>
      <c r="I19" s="40" t="inlineStr">
        <is>
          <t>Part</t>
        </is>
      </c>
      <c r="J19" s="44" t="n"/>
      <c r="K19" s="44" t="n"/>
    </row>
    <row r="20" hidden="1" outlineLevel="1" ht="42" customHeight="1">
      <c r="A20" s="52" t="inlineStr">
        <is>
          <t>3.4</t>
        </is>
      </c>
      <c r="B20" s="39" t="inlineStr">
        <is>
          <t>SW-01032</t>
        </is>
      </c>
      <c r="C20" s="40" t="inlineStr"/>
      <c r="D20" s="41" t="n">
        <v>1</v>
      </c>
      <c r="E20" s="67">
        <f>D20*G20</f>
        <v/>
      </c>
      <c r="F20" s="43" t="inlineStr"/>
      <c r="G20" s="67" t="n">
        <v>25</v>
      </c>
      <c r="H20" s="44" t="n"/>
      <c r="I20" s="40" t="inlineStr">
        <is>
          <t>Part</t>
        </is>
      </c>
      <c r="J20" s="44" t="n"/>
      <c r="K20" s="44" t="n"/>
    </row>
    <row r="21" hidden="1" outlineLevel="1" ht="42" customHeight="1">
      <c r="A21" s="52" t="inlineStr">
        <is>
          <t>3.5</t>
        </is>
      </c>
      <c r="B21" s="39" t="inlineStr">
        <is>
          <t>SW-01052</t>
        </is>
      </c>
      <c r="C21" s="40" t="inlineStr"/>
      <c r="D21" s="41" t="n">
        <v>1</v>
      </c>
      <c r="E21" s="67">
        <f>D21*G21</f>
        <v/>
      </c>
      <c r="F21" s="43" t="inlineStr"/>
      <c r="G21" s="67" t="n">
        <v>1</v>
      </c>
      <c r="H21" s="44" t="n"/>
      <c r="I21" s="40" t="inlineStr">
        <is>
          <t>Part</t>
        </is>
      </c>
      <c r="J21" s="44" t="n"/>
      <c r="K21" s="44" t="n"/>
    </row>
    <row r="22" hidden="1" outlineLevel="1" ht="38" customHeight="1">
      <c r="A22" s="52" t="inlineStr">
        <is>
          <t>3.6</t>
        </is>
      </c>
      <c r="B22" s="39" t="inlineStr">
        <is>
          <t>DIN 912 M4 x 16 --- 16N</t>
        </is>
      </c>
      <c r="C22" s="40" t="inlineStr"/>
      <c r="D22" s="41" t="n">
        <v>4</v>
      </c>
      <c r="E22" s="67">
        <f>D22*G22</f>
        <v/>
      </c>
      <c r="F22" s="43" t="inlineStr"/>
      <c r="G22" s="67" t="n">
        <v>0.1</v>
      </c>
      <c r="H22" s="44" t="n"/>
      <c r="I22" s="40" t="inlineStr">
        <is>
          <t>Part</t>
        </is>
      </c>
      <c r="J22" s="44" t="n"/>
      <c r="K22" s="44" t="n"/>
    </row>
    <row r="23" hidden="1" outlineLevel="1" ht="42" customHeight="1">
      <c r="A23" s="52" t="inlineStr">
        <is>
          <t>3.7</t>
        </is>
      </c>
      <c r="B23" s="39" t="inlineStr">
        <is>
          <t>SW-01053</t>
        </is>
      </c>
      <c r="C23" s="40" t="inlineStr"/>
      <c r="D23" s="41" t="n">
        <v>2</v>
      </c>
      <c r="E23" s="67">
        <f>D23*G23</f>
        <v/>
      </c>
      <c r="F23" s="43" t="inlineStr"/>
      <c r="G23" s="67" t="n">
        <v>0.1</v>
      </c>
      <c r="H23" s="44" t="n"/>
      <c r="I23" s="40" t="inlineStr">
        <is>
          <t>Part</t>
        </is>
      </c>
      <c r="J23" s="44" t="n"/>
      <c r="K23" s="44" t="n"/>
    </row>
    <row r="24" hidden="1" outlineLevel="1" ht="38" customHeight="1">
      <c r="A24" s="52" t="inlineStr">
        <is>
          <t>3.8</t>
        </is>
      </c>
      <c r="B24" s="39" t="inlineStr">
        <is>
          <t>DIN 914 - M3 x 6-N</t>
        </is>
      </c>
      <c r="C24" s="40" t="inlineStr"/>
      <c r="D24" s="41" t="n">
        <v>2</v>
      </c>
      <c r="E24" s="67">
        <f>D24*G24</f>
        <v/>
      </c>
      <c r="F24" s="43" t="inlineStr"/>
      <c r="G24" s="67" t="n">
        <v>0.1</v>
      </c>
      <c r="H24" s="44" t="n"/>
      <c r="I24" s="40" t="inlineStr">
        <is>
          <t>Part</t>
        </is>
      </c>
      <c r="J24" s="44" t="n"/>
      <c r="K24" s="44" t="n"/>
    </row>
    <row r="25" hidden="1" outlineLevel="1" ht="42" customHeight="1">
      <c r="A25" s="52" t="inlineStr">
        <is>
          <t>3.9</t>
        </is>
      </c>
      <c r="B25" s="39" t="inlineStr">
        <is>
          <t>SW-01056</t>
        </is>
      </c>
      <c r="C25" s="40" t="inlineStr"/>
      <c r="D25" s="41" t="n">
        <v>1</v>
      </c>
      <c r="E25" s="67">
        <f>D25*G25</f>
        <v/>
      </c>
      <c r="F25" s="43" t="inlineStr"/>
      <c r="G25" s="67" t="n">
        <v>1</v>
      </c>
      <c r="H25" s="44" t="n"/>
      <c r="I25" s="40" t="inlineStr">
        <is>
          <t>Part</t>
        </is>
      </c>
      <c r="J25" s="44" t="n"/>
      <c r="K25" s="44" t="n"/>
    </row>
    <row r="26" hidden="1" outlineLevel="1" ht="42" customHeight="1">
      <c r="A26" s="52" t="inlineStr">
        <is>
          <t>3.10</t>
        </is>
      </c>
      <c r="B26" s="39" t="inlineStr">
        <is>
          <t>SW-01055</t>
        </is>
      </c>
      <c r="C26" s="40" t="inlineStr"/>
      <c r="D26" s="41" t="n">
        <v>1</v>
      </c>
      <c r="E26" s="67">
        <f>D26*G26</f>
        <v/>
      </c>
      <c r="F26" s="43" t="inlineStr"/>
      <c r="G26" s="67" t="n">
        <v>0.1</v>
      </c>
      <c r="H26" s="44" t="n"/>
      <c r="I26" s="40" t="inlineStr">
        <is>
          <t>Part</t>
        </is>
      </c>
      <c r="J26" s="44" t="n"/>
      <c r="K26" s="44" t="n"/>
    </row>
    <row r="27" hidden="1" outlineLevel="1" ht="38" customHeight="1">
      <c r="A27" s="53" t="inlineStr">
        <is>
          <t>3.11</t>
        </is>
      </c>
      <c r="B27" s="45" t="inlineStr">
        <is>
          <t>DIN EN ISO 8748-2x12-St</t>
        </is>
      </c>
      <c r="C27" s="46" t="inlineStr"/>
      <c r="D27" s="47" t="n">
        <v>1</v>
      </c>
      <c r="E27" s="68">
        <f>D27*G27</f>
        <v/>
      </c>
      <c r="F27" s="49" t="inlineStr"/>
      <c r="G27" s="68" t="n">
        <v>0.1</v>
      </c>
      <c r="H27" s="50" t="n"/>
      <c r="I27" s="46" t="inlineStr">
        <is>
          <t>Part</t>
        </is>
      </c>
      <c r="J27" s="50" t="n"/>
      <c r="K27" s="50" t="n"/>
    </row>
    <row r="28" collapsed="1" ht="42" customHeight="1">
      <c r="A28" s="21" t="inlineStr">
        <is>
          <t>4</t>
        </is>
      </c>
      <c r="B28" s="22" t="inlineStr">
        <is>
          <t>SW-01029</t>
        </is>
      </c>
      <c r="C28" s="23" t="inlineStr"/>
      <c r="D28" s="24" t="n">
        <v>1</v>
      </c>
      <c r="E28" s="65">
        <f>D28*G28</f>
        <v/>
      </c>
      <c r="F28" s="22" t="inlineStr"/>
      <c r="G28" s="65" t="n">
        <v>40.9</v>
      </c>
      <c r="H28" s="26" t="n"/>
      <c r="I28" s="23" t="inlineStr">
        <is>
          <t>Assembly</t>
        </is>
      </c>
      <c r="J28" s="26" t="n"/>
      <c r="K28" s="26" t="n"/>
    </row>
    <row r="29" hidden="1" outlineLevel="1" ht="42" customHeight="1">
      <c r="A29" s="51" t="inlineStr">
        <is>
          <t>4.1</t>
        </is>
      </c>
      <c r="B29" s="33" t="inlineStr">
        <is>
          <t>SW-01033</t>
        </is>
      </c>
      <c r="C29" s="34" t="inlineStr"/>
      <c r="D29" s="35" t="n">
        <v>2</v>
      </c>
      <c r="E29" s="66">
        <f>D29*G29</f>
        <v/>
      </c>
      <c r="F29" s="37" t="inlineStr"/>
      <c r="G29" s="66" t="n">
        <v>2</v>
      </c>
      <c r="H29" s="38" t="n"/>
      <c r="I29" s="34" t="inlineStr">
        <is>
          <t>Part</t>
        </is>
      </c>
      <c r="J29" s="38" t="n"/>
      <c r="K29" s="38" t="n"/>
    </row>
    <row r="30" hidden="1" outlineLevel="1" ht="42" customHeight="1">
      <c r="A30" s="52" t="inlineStr">
        <is>
          <t>4.2</t>
        </is>
      </c>
      <c r="B30" s="39" t="inlineStr">
        <is>
          <t>SW-01034</t>
        </is>
      </c>
      <c r="C30" s="40" t="inlineStr"/>
      <c r="D30" s="41" t="n">
        <v>4</v>
      </c>
      <c r="E30" s="67">
        <f>D30*G30</f>
        <v/>
      </c>
      <c r="F30" s="43" t="inlineStr"/>
      <c r="G30" s="67" t="n">
        <v>0.1</v>
      </c>
      <c r="H30" s="44" t="n"/>
      <c r="I30" s="40" t="inlineStr">
        <is>
          <t>Part</t>
        </is>
      </c>
      <c r="J30" s="44" t="n"/>
      <c r="K30" s="44" t="n"/>
    </row>
    <row r="31" hidden="1" outlineLevel="1" ht="42" customHeight="1">
      <c r="A31" s="52" t="inlineStr">
        <is>
          <t>4.3</t>
        </is>
      </c>
      <c r="B31" s="39" t="inlineStr">
        <is>
          <t>SW-01030</t>
        </is>
      </c>
      <c r="C31" s="40" t="inlineStr"/>
      <c r="D31" s="41" t="n">
        <v>1</v>
      </c>
      <c r="E31" s="67">
        <f>D31*G31</f>
        <v/>
      </c>
      <c r="F31" s="43" t="inlineStr"/>
      <c r="G31" s="67" t="n">
        <v>1</v>
      </c>
      <c r="H31" s="44" t="n"/>
      <c r="I31" s="40" t="inlineStr">
        <is>
          <t>Part</t>
        </is>
      </c>
      <c r="J31" s="44" t="n"/>
      <c r="K31" s="44" t="n"/>
    </row>
    <row r="32" hidden="1" outlineLevel="1" ht="42" customHeight="1">
      <c r="A32" s="52" t="inlineStr">
        <is>
          <t>4.4</t>
        </is>
      </c>
      <c r="B32" s="39" t="inlineStr">
        <is>
          <t>SW-01032</t>
        </is>
      </c>
      <c r="C32" s="40" t="inlineStr"/>
      <c r="D32" s="41" t="n">
        <v>1</v>
      </c>
      <c r="E32" s="67">
        <f>D32*G32</f>
        <v/>
      </c>
      <c r="F32" s="43" t="inlineStr"/>
      <c r="G32" s="67" t="n">
        <v>25</v>
      </c>
      <c r="H32" s="44" t="n"/>
      <c r="I32" s="40" t="inlineStr">
        <is>
          <t>Part</t>
        </is>
      </c>
      <c r="J32" s="44" t="n"/>
      <c r="K32" s="44" t="n"/>
    </row>
    <row r="33" hidden="1" outlineLevel="1" ht="42" customHeight="1">
      <c r="A33" s="52" t="inlineStr">
        <is>
          <t>4.5</t>
        </is>
      </c>
      <c r="B33" s="39" t="inlineStr">
        <is>
          <t>SW-01031</t>
        </is>
      </c>
      <c r="C33" s="40" t="inlineStr"/>
      <c r="D33" s="41" t="n">
        <v>2</v>
      </c>
      <c r="E33" s="67">
        <f>D33*G33</f>
        <v/>
      </c>
      <c r="F33" s="43" t="inlineStr"/>
      <c r="G33" s="67" t="n">
        <v>4</v>
      </c>
      <c r="H33" s="44" t="n"/>
      <c r="I33" s="40" t="inlineStr">
        <is>
          <t>Part</t>
        </is>
      </c>
      <c r="J33" s="44" t="n"/>
      <c r="K33" s="44" t="n"/>
    </row>
    <row r="34" hidden="1" outlineLevel="1" ht="38" customHeight="1">
      <c r="A34" s="52" t="inlineStr">
        <is>
          <t>4.6</t>
        </is>
      </c>
      <c r="B34" s="39" t="inlineStr">
        <is>
          <t>DIN 912 M3 x 30 --- 18N</t>
        </is>
      </c>
      <c r="C34" s="40" t="inlineStr"/>
      <c r="D34" s="41" t="n">
        <v>4</v>
      </c>
      <c r="E34" s="67">
        <f>D34*G34</f>
        <v/>
      </c>
      <c r="F34" s="43" t="inlineStr"/>
      <c r="G34" s="67" t="n">
        <v>0.1</v>
      </c>
      <c r="H34" s="44" t="n"/>
      <c r="I34" s="40" t="inlineStr">
        <is>
          <t>Part</t>
        </is>
      </c>
      <c r="J34" s="44" t="n"/>
      <c r="K34" s="44" t="n"/>
    </row>
    <row r="35" hidden="1" outlineLevel="1" ht="38" customHeight="1">
      <c r="A35" s="52" t="inlineStr">
        <is>
          <t>4.7</t>
        </is>
      </c>
      <c r="B35" s="39" t="inlineStr">
        <is>
          <t>DIN 912 M4 x 16 --- 16N</t>
        </is>
      </c>
      <c r="C35" s="40" t="inlineStr"/>
      <c r="D35" s="41" t="n">
        <v>1</v>
      </c>
      <c r="E35" s="67">
        <f>D35*G35</f>
        <v/>
      </c>
      <c r="F35" s="43" t="inlineStr"/>
      <c r="G35" s="67" t="n">
        <v>0.1</v>
      </c>
      <c r="H35" s="44" t="n"/>
      <c r="I35" s="40" t="inlineStr">
        <is>
          <t>Part</t>
        </is>
      </c>
      <c r="J35" s="44" t="n"/>
      <c r="K35" s="44" t="n"/>
    </row>
    <row r="36" hidden="1" outlineLevel="1" ht="42" customHeight="1">
      <c r="A36" s="53" t="inlineStr">
        <is>
          <t>4.8</t>
        </is>
      </c>
      <c r="B36" s="45" t="inlineStr">
        <is>
          <t>SW-01035</t>
        </is>
      </c>
      <c r="C36" s="46" t="inlineStr"/>
      <c r="D36" s="47" t="n">
        <v>1</v>
      </c>
      <c r="E36" s="68">
        <f>D36*G36</f>
        <v/>
      </c>
      <c r="F36" s="49" t="inlineStr"/>
      <c r="G36" s="68" t="n">
        <v>2</v>
      </c>
      <c r="H36" s="50" t="n"/>
      <c r="I36" s="46" t="inlineStr">
        <is>
          <t>Part</t>
        </is>
      </c>
      <c r="J36" s="50" t="n"/>
      <c r="K36" s="50" t="n"/>
    </row>
    <row r="37" collapsed="1" ht="38" customHeight="1">
      <c r="A37" s="21" t="inlineStr">
        <is>
          <t>5</t>
        </is>
      </c>
      <c r="B37" s="22" t="inlineStr">
        <is>
          <t>SW-01041</t>
        </is>
      </c>
      <c r="C37" s="23" t="inlineStr"/>
      <c r="D37" s="24" t="n">
        <v>1</v>
      </c>
      <c r="E37" s="65">
        <f>D37*G37</f>
        <v/>
      </c>
      <c r="F37" s="22" t="inlineStr">
        <is>
          <t>A-Achse</t>
        </is>
      </c>
      <c r="G37" s="65" t="n">
        <v>40.5</v>
      </c>
      <c r="H37" s="26" t="n"/>
      <c r="I37" s="23" t="inlineStr">
        <is>
          <t>Assembly</t>
        </is>
      </c>
      <c r="J37" s="26" t="n"/>
      <c r="K37" s="26" t="n"/>
    </row>
    <row r="38" hidden="1" outlineLevel="1" ht="42" customHeight="1">
      <c r="A38" s="51" t="inlineStr">
        <is>
          <t>5.1</t>
        </is>
      </c>
      <c r="B38" s="33" t="inlineStr">
        <is>
          <t>SW-01047</t>
        </is>
      </c>
      <c r="C38" s="34" t="inlineStr"/>
      <c r="D38" s="35" t="n">
        <v>1</v>
      </c>
      <c r="E38" s="66">
        <f>D38*G38</f>
        <v/>
      </c>
      <c r="F38" s="37" t="inlineStr"/>
      <c r="G38" s="66" t="n">
        <v>1</v>
      </c>
      <c r="H38" s="38" t="n"/>
      <c r="I38" s="34" t="inlineStr">
        <is>
          <t>Part</t>
        </is>
      </c>
      <c r="J38" s="38" t="n"/>
      <c r="K38" s="38" t="n"/>
    </row>
    <row r="39" hidden="1" outlineLevel="1" ht="38" customHeight="1">
      <c r="A39" s="52" t="inlineStr">
        <is>
          <t>5.2</t>
        </is>
      </c>
      <c r="B39" s="39" t="inlineStr">
        <is>
          <t>DIN 912 M5 x 20 --- 20N</t>
        </is>
      </c>
      <c r="C39" s="40" t="inlineStr"/>
      <c r="D39" s="41" t="n">
        <v>4</v>
      </c>
      <c r="E39" s="67">
        <f>D39*G39</f>
        <v/>
      </c>
      <c r="F39" s="43" t="inlineStr"/>
      <c r="G39" s="67" t="n">
        <v>0.1</v>
      </c>
      <c r="H39" s="44" t="n"/>
      <c r="I39" s="40" t="inlineStr">
        <is>
          <t>Part</t>
        </is>
      </c>
      <c r="J39" s="44" t="n"/>
      <c r="K39" s="44" t="n"/>
    </row>
    <row r="40" hidden="1" outlineLevel="1" ht="42" customHeight="1">
      <c r="A40" s="52" t="inlineStr">
        <is>
          <t>5.3</t>
        </is>
      </c>
      <c r="B40" s="39" t="inlineStr">
        <is>
          <t>SW-01048</t>
        </is>
      </c>
      <c r="C40" s="40" t="inlineStr"/>
      <c r="D40" s="41" t="n">
        <v>1</v>
      </c>
      <c r="E40" s="67">
        <f>D40*G40</f>
        <v/>
      </c>
      <c r="F40" s="43" t="inlineStr"/>
      <c r="G40" s="67" t="n">
        <v>1</v>
      </c>
      <c r="H40" s="44" t="n"/>
      <c r="I40" s="40" t="inlineStr">
        <is>
          <t>Part</t>
        </is>
      </c>
      <c r="J40" s="44" t="n"/>
      <c r="K40" s="44" t="n"/>
    </row>
    <row r="41" hidden="1" outlineLevel="1" ht="42" customHeight="1">
      <c r="A41" s="52" t="inlineStr">
        <is>
          <t>5.4</t>
        </is>
      </c>
      <c r="B41" s="39" t="inlineStr">
        <is>
          <t>SW-01042</t>
        </is>
      </c>
      <c r="C41" s="40" t="inlineStr"/>
      <c r="D41" s="41" t="n">
        <v>1</v>
      </c>
      <c r="E41" s="67">
        <f>D41*G41</f>
        <v/>
      </c>
      <c r="F41" s="43" t="inlineStr"/>
      <c r="G41" s="67" t="n">
        <v>1</v>
      </c>
      <c r="H41" s="44" t="n"/>
      <c r="I41" s="40" t="inlineStr">
        <is>
          <t>Part</t>
        </is>
      </c>
      <c r="J41" s="44" t="n"/>
      <c r="K41" s="44" t="n"/>
    </row>
    <row r="42" hidden="1" outlineLevel="1" ht="42" customHeight="1">
      <c r="A42" s="52" t="inlineStr">
        <is>
          <t>5.5</t>
        </is>
      </c>
      <c r="B42" s="39" t="inlineStr">
        <is>
          <t>SW-01027</t>
        </is>
      </c>
      <c r="C42" s="40" t="inlineStr"/>
      <c r="D42" s="41" t="n">
        <v>1</v>
      </c>
      <c r="E42" s="67">
        <f>D42*G42</f>
        <v/>
      </c>
      <c r="F42" s="43" t="inlineStr"/>
      <c r="G42" s="67" t="n">
        <v>10</v>
      </c>
      <c r="H42" s="44" t="n"/>
      <c r="I42" s="40" t="inlineStr">
        <is>
          <t>Part</t>
        </is>
      </c>
      <c r="J42" s="44" t="n"/>
      <c r="K42" s="44" t="n"/>
    </row>
    <row r="43" hidden="1" outlineLevel="1" ht="42" customHeight="1">
      <c r="A43" s="52" t="inlineStr">
        <is>
          <t>5.6</t>
        </is>
      </c>
      <c r="B43" s="39" t="inlineStr">
        <is>
          <t>SW-01043</t>
        </is>
      </c>
      <c r="C43" s="40" t="inlineStr"/>
      <c r="D43" s="41" t="n">
        <v>2</v>
      </c>
      <c r="E43" s="67">
        <f>D43*G43</f>
        <v/>
      </c>
      <c r="F43" s="43" t="inlineStr"/>
      <c r="G43" s="67" t="n">
        <v>1</v>
      </c>
      <c r="H43" s="44" t="n"/>
      <c r="I43" s="40" t="inlineStr">
        <is>
          <t>Part</t>
        </is>
      </c>
      <c r="J43" s="44" t="n"/>
      <c r="K43" s="44" t="n"/>
    </row>
    <row r="44" hidden="1" outlineLevel="1" ht="42" customHeight="1">
      <c r="A44" s="52" t="inlineStr">
        <is>
          <t>5.7</t>
        </is>
      </c>
      <c r="B44" s="39" t="inlineStr">
        <is>
          <t>SW-01045</t>
        </is>
      </c>
      <c r="C44" s="40" t="inlineStr"/>
      <c r="D44" s="41" t="n">
        <v>2</v>
      </c>
      <c r="E44" s="67">
        <f>D44*G44</f>
        <v/>
      </c>
      <c r="F44" s="43" t="inlineStr"/>
      <c r="G44" s="67" t="n">
        <v>5</v>
      </c>
      <c r="H44" s="44" t="n"/>
      <c r="I44" s="40" t="inlineStr">
        <is>
          <t>Part</t>
        </is>
      </c>
      <c r="J44" s="44" t="n"/>
      <c r="K44" s="44" t="n"/>
    </row>
    <row r="45" hidden="1" outlineLevel="1" ht="38" customHeight="1">
      <c r="A45" s="52" t="inlineStr">
        <is>
          <t>5.8</t>
        </is>
      </c>
      <c r="B45" s="39" t="inlineStr">
        <is>
          <t>DIN 912 M3 x 20 --- 20N</t>
        </is>
      </c>
      <c r="C45" s="40" t="inlineStr"/>
      <c r="D45" s="41" t="n">
        <v>4</v>
      </c>
      <c r="E45" s="67">
        <f>D45*G45</f>
        <v/>
      </c>
      <c r="F45" s="43" t="inlineStr"/>
      <c r="G45" s="67" t="n">
        <v>0.1</v>
      </c>
      <c r="H45" s="44" t="n"/>
      <c r="I45" s="40" t="inlineStr">
        <is>
          <t>Part</t>
        </is>
      </c>
      <c r="J45" s="44" t="n"/>
      <c r="K45" s="44" t="n"/>
    </row>
    <row r="46" hidden="1" outlineLevel="1" ht="42" customHeight="1">
      <c r="A46" s="52" t="inlineStr">
        <is>
          <t>5.9</t>
        </is>
      </c>
      <c r="B46" s="39" t="inlineStr">
        <is>
          <t>SW-01031</t>
        </is>
      </c>
      <c r="C46" s="40" t="inlineStr"/>
      <c r="D46" s="41" t="n">
        <v>2</v>
      </c>
      <c r="E46" s="67">
        <f>D46*G46</f>
        <v/>
      </c>
      <c r="F46" s="43" t="inlineStr"/>
      <c r="G46" s="67" t="n">
        <v>4</v>
      </c>
      <c r="H46" s="44" t="n"/>
      <c r="I46" s="40" t="inlineStr">
        <is>
          <t>Part</t>
        </is>
      </c>
      <c r="J46" s="44" t="n"/>
      <c r="K46" s="44" t="n"/>
    </row>
    <row r="47" hidden="1" outlineLevel="1" ht="42" customHeight="1">
      <c r="A47" s="52" t="inlineStr">
        <is>
          <t>5.10</t>
        </is>
      </c>
      <c r="B47" s="39" t="inlineStr">
        <is>
          <t>SW-01040</t>
        </is>
      </c>
      <c r="C47" s="40" t="inlineStr"/>
      <c r="D47" s="41" t="n">
        <v>1</v>
      </c>
      <c r="E47" s="67">
        <f>D47*G47</f>
        <v/>
      </c>
      <c r="F47" s="43" t="inlineStr"/>
      <c r="G47" s="67" t="n">
        <v>3</v>
      </c>
      <c r="H47" s="44" t="n"/>
      <c r="I47" s="40" t="inlineStr">
        <is>
          <t>Part</t>
        </is>
      </c>
      <c r="J47" s="44" t="n"/>
      <c r="K47" s="44" t="n"/>
    </row>
    <row r="48" hidden="1" outlineLevel="1" ht="42" customHeight="1">
      <c r="A48" s="52" t="inlineStr">
        <is>
          <t>5.11</t>
        </is>
      </c>
      <c r="B48" s="39" t="inlineStr">
        <is>
          <t>SW-01046</t>
        </is>
      </c>
      <c r="C48" s="40" t="inlineStr"/>
      <c r="D48" s="41" t="n">
        <v>2</v>
      </c>
      <c r="E48" s="67">
        <f>D48*G48</f>
        <v/>
      </c>
      <c r="F48" s="43" t="inlineStr"/>
      <c r="G48" s="67" t="n">
        <v>1</v>
      </c>
      <c r="H48" s="44" t="n"/>
      <c r="I48" s="40" t="inlineStr">
        <is>
          <t>Part</t>
        </is>
      </c>
      <c r="J48" s="44" t="n"/>
      <c r="K48" s="44" t="n"/>
    </row>
    <row r="49" hidden="1" outlineLevel="1" ht="42" customHeight="1">
      <c r="A49" s="52" t="inlineStr">
        <is>
          <t>5.12</t>
        </is>
      </c>
      <c r="B49" s="39" t="inlineStr">
        <is>
          <t>SW-01044</t>
        </is>
      </c>
      <c r="C49" s="40" t="inlineStr"/>
      <c r="D49" s="41" t="n">
        <v>1</v>
      </c>
      <c r="E49" s="67">
        <f>D49*G49</f>
        <v/>
      </c>
      <c r="F49" s="43" t="inlineStr"/>
      <c r="G49" s="67" t="n">
        <v>1</v>
      </c>
      <c r="H49" s="44" t="n"/>
      <c r="I49" s="40" t="inlineStr">
        <is>
          <t>Part</t>
        </is>
      </c>
      <c r="J49" s="44" t="n"/>
      <c r="K49" s="44" t="n"/>
    </row>
    <row r="50" hidden="1" outlineLevel="1" ht="42" customHeight="1">
      <c r="A50" s="52" t="inlineStr">
        <is>
          <t>5.13</t>
        </is>
      </c>
      <c r="B50" s="39" t="inlineStr">
        <is>
          <t>SW-01049</t>
        </is>
      </c>
      <c r="C50" s="40" t="inlineStr"/>
      <c r="D50" s="41" t="n">
        <v>2</v>
      </c>
      <c r="E50" s="67">
        <f>D50*G50</f>
        <v/>
      </c>
      <c r="F50" s="43" t="inlineStr"/>
      <c r="G50" s="67" t="n">
        <v>0.1</v>
      </c>
      <c r="H50" s="44" t="n"/>
      <c r="I50" s="40" t="inlineStr">
        <is>
          <t>Part</t>
        </is>
      </c>
      <c r="J50" s="44" t="n"/>
      <c r="K50" s="44" t="n"/>
    </row>
    <row r="51" hidden="1" outlineLevel="1" ht="38" customHeight="1">
      <c r="A51" s="52" t="inlineStr">
        <is>
          <t>5.14</t>
        </is>
      </c>
      <c r="B51" s="39" t="inlineStr">
        <is>
          <t>DIN EN ISO 8748-2x12-St</t>
        </is>
      </c>
      <c r="C51" s="40" t="inlineStr"/>
      <c r="D51" s="41" t="n">
        <v>3</v>
      </c>
      <c r="E51" s="67">
        <f>D51*G51</f>
        <v/>
      </c>
      <c r="F51" s="43" t="inlineStr"/>
      <c r="G51" s="67" t="n">
        <v>0.1</v>
      </c>
      <c r="H51" s="44" t="n"/>
      <c r="I51" s="40" t="inlineStr">
        <is>
          <t>Part</t>
        </is>
      </c>
      <c r="J51" s="44" t="n"/>
      <c r="K51" s="44" t="n"/>
    </row>
    <row r="52" hidden="1" outlineLevel="1" ht="42" customHeight="1">
      <c r="A52" s="53" t="inlineStr">
        <is>
          <t>5.15</t>
        </is>
      </c>
      <c r="B52" s="45" t="inlineStr">
        <is>
          <t>SW-01050</t>
        </is>
      </c>
      <c r="C52" s="46" t="inlineStr"/>
      <c r="D52" s="47" t="n">
        <v>2</v>
      </c>
      <c r="E52" s="68">
        <f>D52*G52</f>
        <v/>
      </c>
      <c r="F52" s="49" t="inlineStr"/>
      <c r="G52" s="68" t="n">
        <v>0.1</v>
      </c>
      <c r="H52" s="50" t="n"/>
      <c r="I52" s="46" t="inlineStr">
        <is>
          <t>Part</t>
        </is>
      </c>
      <c r="J52" s="50" t="n"/>
      <c r="K52" s="50" t="n"/>
    </row>
    <row r="53" collapsed="1" ht="42" customHeight="1">
      <c r="A53" s="21" t="inlineStr">
        <is>
          <t>6</t>
        </is>
      </c>
      <c r="B53" s="22" t="inlineStr">
        <is>
          <t>SW-01057</t>
        </is>
      </c>
      <c r="C53" s="23" t="inlineStr"/>
      <c r="D53" s="24" t="n">
        <v>1</v>
      </c>
      <c r="E53" s="65">
        <f>D53*G53</f>
        <v/>
      </c>
      <c r="F53" s="22" t="inlineStr"/>
      <c r="G53" s="65" t="n">
        <v>7.8</v>
      </c>
      <c r="H53" s="26" t="n"/>
      <c r="I53" s="23" t="inlineStr">
        <is>
          <t>Assembly</t>
        </is>
      </c>
      <c r="J53" s="26" t="n"/>
      <c r="K53" s="26" t="n"/>
    </row>
    <row r="54" hidden="1" outlineLevel="1" ht="42" customHeight="1">
      <c r="A54" s="51" t="inlineStr">
        <is>
          <t>6.1</t>
        </is>
      </c>
      <c r="B54" s="33" t="inlineStr">
        <is>
          <t>SW-01058</t>
        </is>
      </c>
      <c r="C54" s="34" t="inlineStr"/>
      <c r="D54" s="35" t="n">
        <v>1</v>
      </c>
      <c r="E54" s="66">
        <f>D54*G54</f>
        <v/>
      </c>
      <c r="F54" s="37" t="inlineStr"/>
      <c r="G54" s="66" t="n">
        <v>1</v>
      </c>
      <c r="H54" s="38" t="n"/>
      <c r="I54" s="34" t="inlineStr">
        <is>
          <t>Part</t>
        </is>
      </c>
      <c r="J54" s="38" t="n"/>
      <c r="K54" s="38" t="n"/>
    </row>
    <row r="55" hidden="1" outlineLevel="1" ht="38" customHeight="1">
      <c r="A55" s="52" t="inlineStr">
        <is>
          <t>6.2</t>
        </is>
      </c>
      <c r="B55" s="39" t="inlineStr">
        <is>
          <t>ISO 10642 - M4 x 10 - 10N</t>
        </is>
      </c>
      <c r="C55" s="40" t="inlineStr"/>
      <c r="D55" s="41" t="n">
        <v>8</v>
      </c>
      <c r="E55" s="67">
        <f>D55*G55</f>
        <v/>
      </c>
      <c r="F55" s="43" t="inlineStr"/>
      <c r="G55" s="67" t="n">
        <v>0.1</v>
      </c>
      <c r="H55" s="44" t="n"/>
      <c r="I55" s="40" t="inlineStr">
        <is>
          <t>Part</t>
        </is>
      </c>
      <c r="J55" s="44" t="n"/>
      <c r="K55" s="44" t="n"/>
    </row>
    <row r="56" hidden="1" outlineLevel="1" ht="42" customHeight="1">
      <c r="A56" s="52" t="inlineStr">
        <is>
          <t>6.3</t>
        </is>
      </c>
      <c r="B56" s="39" t="inlineStr">
        <is>
          <t>SW-01059</t>
        </is>
      </c>
      <c r="C56" s="40" t="inlineStr"/>
      <c r="D56" s="41" t="n">
        <v>1</v>
      </c>
      <c r="E56" s="67">
        <f>D56*G56</f>
        <v/>
      </c>
      <c r="F56" s="43" t="inlineStr"/>
      <c r="G56" s="67" t="n">
        <v>3</v>
      </c>
      <c r="H56" s="44" t="n"/>
      <c r="I56" s="40" t="inlineStr">
        <is>
          <t>Part</t>
        </is>
      </c>
      <c r="J56" s="44" t="n"/>
      <c r="K56" s="44" t="n"/>
    </row>
    <row r="57" hidden="1" outlineLevel="1" ht="42" customHeight="1">
      <c r="A57" s="52" t="inlineStr">
        <is>
          <t>6.4</t>
        </is>
      </c>
      <c r="B57" s="39" t="inlineStr">
        <is>
          <t>SW-01060</t>
        </is>
      </c>
      <c r="C57" s="40" t="inlineStr"/>
      <c r="D57" s="41" t="n">
        <v>1</v>
      </c>
      <c r="E57" s="67">
        <f>D57*G57</f>
        <v/>
      </c>
      <c r="F57" s="43" t="inlineStr"/>
      <c r="G57" s="67" t="n">
        <v>1</v>
      </c>
      <c r="H57" s="44" t="n"/>
      <c r="I57" s="40" t="inlineStr">
        <is>
          <t>Part</t>
        </is>
      </c>
      <c r="J57" s="44" t="n"/>
      <c r="K57" s="44" t="n"/>
    </row>
    <row r="58" hidden="1" outlineLevel="1" ht="42" customHeight="1">
      <c r="A58" s="53" t="inlineStr">
        <is>
          <t>6.5</t>
        </is>
      </c>
      <c r="B58" s="45" t="inlineStr">
        <is>
          <t>SW-01061</t>
        </is>
      </c>
      <c r="C58" s="46" t="inlineStr"/>
      <c r="D58" s="47" t="n">
        <v>2</v>
      </c>
      <c r="E58" s="68">
        <f>D58*G58</f>
        <v/>
      </c>
      <c r="F58" s="49" t="inlineStr"/>
      <c r="G58" s="68" t="n">
        <v>1</v>
      </c>
      <c r="H58" s="50" t="n"/>
      <c r="I58" s="46" t="inlineStr">
        <is>
          <t>Part</t>
        </is>
      </c>
      <c r="J58" s="50" t="n"/>
      <c r="K58" s="50" t="n"/>
    </row>
    <row r="59" ht="26" customHeight="1">
      <c r="A59" s="57" t="inlineStr">
        <is>
          <t>Total</t>
        </is>
      </c>
      <c r="B59" s="57" t="n"/>
      <c r="C59" s="58" t="n"/>
      <c r="D59" s="58" t="n"/>
      <c r="E59" s="69">
        <f t="array" ref="E59">SUMPRODUCT(--ISERROR(FIND(".",$A$2:$A$58)),$E$2:$E$58)</f>
        <v/>
      </c>
      <c r="F59" s="59" t="n"/>
      <c r="G59" s="58" t="n"/>
      <c r="H59" s="59" t="n"/>
      <c r="I59" s="57" t="n"/>
      <c r="J59" s="59" t="n"/>
      <c r="K59" s="59" t="n"/>
    </row>
    <row r="60" ht="12.75" customHeight="1"/>
  </sheetData>
  <autoFilter ref="A1:K58"/>
  <pageMargins left="0.7874015748031497" right="0.7874015748031497" top="0.984251968503937" bottom="0.984251968503937" header="0.5118110236220472" footer="0.5118110236220472"/>
  <pageSetup orientation="landscape" scale="47" fitToHeight="0" firstPageNumber="0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ABC Rotary Table - structured BOM with costs</dc:title>
  <dcterms:created xmlns:dcterms="http://purl.org/dc/terms/" xmlns:xsi="http://www.w3.org/2001/XMLSchema-instance" xsi:type="dcterms:W3CDTF">2026-01-04T10:19:15Z</dcterms:created>
  <dcterms:modified xmlns:dcterms="http://purl.org/dc/terms/" xmlns:xsi="http://www.w3.org/2001/XMLSchema-instance" xsi:type="dcterms:W3CDTF">2026-10-31T16:45:27Z</dcterms:modified>
  <cp:lastModifiedBy>Martin Allemann</cp:lastModifiedBy>
  <cp:lastPrinted>2026-10-25T13:17:44Z</cp:lastPrinted>
</cp:coreProperties>
</file>